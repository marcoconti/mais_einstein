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0" documentId="8_{6AF47EFC-7AF9-425F-A664-6D2B3F66EB42}" xr6:coauthVersionLast="47" xr6:coauthVersionMax="47" xr10:uidLastSave="{00000000-0000-0000-0000-000000000000}"/>
  <bookViews>
    <workbookView xWindow="240" yWindow="105" windowWidth="14805" windowHeight="8010" xr2:uid="{00000000-000D-0000-FFFF-FFFF00000000}"/>
  </bookViews>
  <sheets>
    <sheet name="Planilha1" sheetId="1" r:id="rId1"/>
  </sheets>
  <definedNames>
    <definedName name="_xlnm._FilterDatabase" localSheetId="0" hidden="1">Planilha1!$F$1:$F$116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 i="1" l="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4"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2" i="1"/>
</calcChain>
</file>

<file path=xl/sharedStrings.xml><?xml version="1.0" encoding="utf-8"?>
<sst xmlns="http://schemas.openxmlformats.org/spreadsheetml/2006/main" count="439" uniqueCount="225">
  <si>
    <t>Existe no dicionário</t>
  </si>
  <si>
    <t>Arquivos</t>
  </si>
  <si>
    <t>Existe nos Arquivos</t>
  </si>
  <si>
    <t>Dicionário</t>
  </si>
  <si>
    <t>CONTADOR</t>
  </si>
  <si>
    <t>ORIGEM</t>
  </si>
  <si>
    <t>TIPOBITO</t>
  </si>
  <si>
    <t>Tipo do óbito</t>
  </si>
  <si>
    <t>Caracter</t>
  </si>
  <si>
    <t>Tipo do óbito Óbito fetal: morte antes da expulsão ou da extração completa do corpo da Mãe, independentemente da duração da gravidez. Indica o óbito o fato de o feto, depois da expulsão do corpo materno, não respirar nem apresentar nenhum outro sinal de vida, como batimentos do coração, pulsações do cordão umbilical ou movimentos efetivos dos músculos de contração voluntária</t>
  </si>
  <si>
    <t>DTOBITO</t>
  </si>
  <si>
    <t>Data do Óbito</t>
  </si>
  <si>
    <t>Data em que occoreu o óbito.</t>
  </si>
  <si>
    <t>HORAOBITO</t>
  </si>
  <si>
    <t>Hora</t>
  </si>
  <si>
    <t>Horário do óbito</t>
  </si>
  <si>
    <t>NATURAL</t>
  </si>
  <si>
    <t>Naturalidade</t>
  </si>
  <si>
    <t>Município e Unidade da Federação onde o falecido nasceu. Se estrangeiro informar País</t>
  </si>
  <si>
    <t>CODMUNNATU</t>
  </si>
  <si>
    <t>Código do município de naturalidade</t>
  </si>
  <si>
    <t>Código do município de naturalidade do falecido.</t>
  </si>
  <si>
    <t>DTNASC</t>
  </si>
  <si>
    <t>Data de Nascimento</t>
  </si>
  <si>
    <t>Data do nascimento do falecido. Em caso de óbito fetal as datas de óbito e nascimento deverão ser iguais.</t>
  </si>
  <si>
    <t>IDADE</t>
  </si>
  <si>
    <t>Idade</t>
  </si>
  <si>
    <t>Idade do falecido em minutos, horas, dias, meses ou anos</t>
  </si>
  <si>
    <t>SEXO</t>
  </si>
  <si>
    <t>Sexo</t>
  </si>
  <si>
    <t>Sexo do falecido. “Ignorado” selecionada em casos especiais como cadáveres mutilados, em estado avançado de decomposição, genitália indefinida ou hermafroditismo</t>
  </si>
  <si>
    <t>RACACOR</t>
  </si>
  <si>
    <t>Raça Cor</t>
  </si>
  <si>
    <t>Cor informada pelo responsável pelas informações do falecido</t>
  </si>
  <si>
    <t>ESTCIV</t>
  </si>
  <si>
    <t>Situação Conjugal</t>
  </si>
  <si>
    <t>Situação conjugal do falecido informada pelos familiares</t>
  </si>
  <si>
    <t>ESC</t>
  </si>
  <si>
    <t>ESC2010</t>
  </si>
  <si>
    <t>Escolaridade (última série concluída) - nível</t>
  </si>
  <si>
    <t>Escolaridade 2010. Nível da última série concluída pelo falecido</t>
  </si>
  <si>
    <t>SERIESCFAL</t>
  </si>
  <si>
    <t>Escolaridade (última série concluída) - série</t>
  </si>
  <si>
    <t>Última série escolar concluída pelo falecido</t>
  </si>
  <si>
    <t>OCUP</t>
  </si>
  <si>
    <t>Ocupação habitual (Código CBO 2002)</t>
  </si>
  <si>
    <t>Tipo de trabalho que o falecido desenvolveu na maior parte de sua vida produtiva. Preenchimento de acordo com Classificação Brasileira de Ocupações – CBO 2002</t>
  </si>
  <si>
    <t>CODMUNRES</t>
  </si>
  <si>
    <t xml:space="preserve"> Município de residência (Código)</t>
  </si>
  <si>
    <t>Código do município de residência. Em caso de óbito fetal, considerar o município de residência da mãe</t>
  </si>
  <si>
    <t>LOCOCOR</t>
  </si>
  <si>
    <t>Local de Ocorrência do Óbito</t>
  </si>
  <si>
    <t>Local de ocorrência do óbito</t>
  </si>
  <si>
    <t>CODESTAB</t>
  </si>
  <si>
    <t>Estabelecimento (Código CNES)</t>
  </si>
  <si>
    <t>Código do estabelecimento de saúde constante do Cadastro Nacional de Estabelecimento de Saúde</t>
  </si>
  <si>
    <t>CODMUNOCOR</t>
  </si>
  <si>
    <t>Código do Município de ocorrência</t>
  </si>
  <si>
    <t>Código relativo ao município onde ocorreu o óbito</t>
  </si>
  <si>
    <t>ESTABDESCR</t>
  </si>
  <si>
    <t>IDADEMAE</t>
  </si>
  <si>
    <t>Idade (anos)</t>
  </si>
  <si>
    <t>Idade da mãe</t>
  </si>
  <si>
    <t>ESCMAE2010</t>
  </si>
  <si>
    <t>Escolaridade 2010. Nível da última série concluída pela mãe</t>
  </si>
  <si>
    <t>SERIESCMAE</t>
  </si>
  <si>
    <t>Última série escolar concluída pela mãe</t>
  </si>
  <si>
    <t>ESCMAE</t>
  </si>
  <si>
    <t>OCUPMAE</t>
  </si>
  <si>
    <t xml:space="preserve"> Ocupação habitual (Código CBO 2002)</t>
  </si>
  <si>
    <t>Tipo de trabalho exercido habitualmente pela Mãe, de acordo com Classificação Brasileira de Ocupações – CBO 2002. No caso da mãe do falecido(a) ser “aposentada”, preencher com a ocupação habitual anterior.</t>
  </si>
  <si>
    <t>QTDFILVIVO</t>
  </si>
  <si>
    <t>Número de filhos tidos (nascidos vivos)</t>
  </si>
  <si>
    <t>Número de filhos vivos</t>
  </si>
  <si>
    <t>QTDFILMORT</t>
  </si>
  <si>
    <t>Número de filhos tidos (perdas fetais/aborto)</t>
  </si>
  <si>
    <t>Número de filhos mortos. Não incluir a criança cujo óbito se notifica na respectiva DO</t>
  </si>
  <si>
    <t>GRAVIDEZ</t>
  </si>
  <si>
    <t>Tipo de Gravidez</t>
  </si>
  <si>
    <t>Tipo de gravidez</t>
  </si>
  <si>
    <t>SEMAGESTAC</t>
  </si>
  <si>
    <t>Nº de semanas de gestação</t>
  </si>
  <si>
    <t>Semanas de gestação com dois algarismos</t>
  </si>
  <si>
    <t>PARTO</t>
  </si>
  <si>
    <t>Tipo de Parto</t>
  </si>
  <si>
    <t>Tipo de parto</t>
  </si>
  <si>
    <t>OBITOPARTO</t>
  </si>
  <si>
    <t>Morte em relação ao Parto</t>
  </si>
  <si>
    <t>Momento do óbito em relação ao parto</t>
  </si>
  <si>
    <t>PESO</t>
  </si>
  <si>
    <t>Peso ao Nascer</t>
  </si>
  <si>
    <t>Peso ao nascer em gramas</t>
  </si>
  <si>
    <t>GESTACAO</t>
  </si>
  <si>
    <t>TPMORTEOCO</t>
  </si>
  <si>
    <t>A morte ocorreu</t>
  </si>
  <si>
    <t>Situação gestacional ou pósgestacional em que ocorreu o óbito</t>
  </si>
  <si>
    <t>ASSISTMED</t>
  </si>
  <si>
    <t>Recebeu assist. médica durante a doença que ocasionou a morte?</t>
  </si>
  <si>
    <t>Se refere ao atendimento médico continuado que o paciente recebeu, ou não, durante a enfermidade que ocasionou o óbito</t>
  </si>
  <si>
    <t>NECROPSIA</t>
  </si>
  <si>
    <t>Necrópsia</t>
  </si>
  <si>
    <t>Refere-se a execução ou não de necropsia para confirmação do diagnóstico</t>
  </si>
  <si>
    <t>LINHAA</t>
  </si>
  <si>
    <t>Causas da Morte- Parte I - CID</t>
  </si>
  <si>
    <t>CIDs informados na Linha A da DO referente ao diagnóstico na Linha A da DO (causa terminal - doença ou estado mórbido que causou diretamente a morte)</t>
  </si>
  <si>
    <t>LINHAB</t>
  </si>
  <si>
    <t>CIDs informados na Linha B da DO referente ao diagnóstico na Linha B da DO (causa antecedente ou conseqüencial - estado mórbido, se existir, que produziu a causa direta da morte registrada na linha A)</t>
  </si>
  <si>
    <t>OBITOGRAV</t>
  </si>
  <si>
    <t>LINHAC</t>
  </si>
  <si>
    <t>CIDs informados na Linha C da DO referente ao diagnóstico na Linha C da DO (causa antecedente ou conseqüencial - estado mórbido, se existir, que produziu a causa direta da morte registrada na linha A</t>
  </si>
  <si>
    <t>OBITOPUERP</t>
  </si>
  <si>
    <t>LINHAD</t>
  </si>
  <si>
    <t>CIDs informados na Linha D da DO referente ao diagnóstico na Linha D da DO (causa básica – estado mórbido, se existir, que produziu a causa direta da morte registrada na linha A)</t>
  </si>
  <si>
    <t>LINHAII</t>
  </si>
  <si>
    <t>Causas da Morte- Parte II - CID</t>
  </si>
  <si>
    <t>CIDs informados na Parte II da DO</t>
  </si>
  <si>
    <t>EXAME</t>
  </si>
  <si>
    <t>CAUSABAS</t>
  </si>
  <si>
    <t>Causa básica da Morte</t>
  </si>
  <si>
    <t>Causa básica da DO</t>
  </si>
  <si>
    <t>CIRURGIA</t>
  </si>
  <si>
    <t>ATESTANTE</t>
  </si>
  <si>
    <t>Óbito atestado por Médico</t>
  </si>
  <si>
    <t>Condição do médico atestante</t>
  </si>
  <si>
    <t>COMUNSVOIM</t>
  </si>
  <si>
    <t>Município e UF do SVO ou IML</t>
  </si>
  <si>
    <t>Código do município do SVO ou do IML</t>
  </si>
  <si>
    <t>DTATESTADO</t>
  </si>
  <si>
    <t>Data do atestado</t>
  </si>
  <si>
    <t>Data em que o atestado foi assinado</t>
  </si>
  <si>
    <t>CIRCOBITO</t>
  </si>
  <si>
    <t>Tipo</t>
  </si>
  <si>
    <t>Tipo de morte violenta ou circunstâncias em que se deu a morte não natural</t>
  </si>
  <si>
    <t>ACIDTRAB</t>
  </si>
  <si>
    <t>Acidente do trabalho</t>
  </si>
  <si>
    <t>Indica se o evento que desencadeou o óbito está relacionado ao processo de trabalho</t>
  </si>
  <si>
    <t>FONTE</t>
  </si>
  <si>
    <t>Fonte da Informação</t>
  </si>
  <si>
    <t>fonte de informação utilizada para o preenchimento dos campos 48 e 49</t>
  </si>
  <si>
    <t>TPOBITOCOR</t>
  </si>
  <si>
    <t>Tipo de local de ocorrência do acidente ou violência</t>
  </si>
  <si>
    <t>Identificação do tipo do local de ocorrência</t>
  </si>
  <si>
    <t>Origem dos dados</t>
  </si>
  <si>
    <t>01- Oracle, 02 Banco estadual diponibilizado via FTP, 03 Banco SEADE 9 Ignorado</t>
  </si>
  <si>
    <t>CB_PRE</t>
  </si>
  <si>
    <t>Escolaridade em anos</t>
  </si>
  <si>
    <t>Escolaridade da mãe em anos</t>
  </si>
  <si>
    <t>Óbito na gravidez</t>
  </si>
  <si>
    <t>Óbito no puerpério</t>
  </si>
  <si>
    <t>Realização de exame</t>
  </si>
  <si>
    <t>Realização de cirurgia</t>
  </si>
  <si>
    <t>NUMEROLOTE</t>
  </si>
  <si>
    <t>CAUSABAS_O</t>
  </si>
  <si>
    <t>Causa básica informada antes da resseleção</t>
  </si>
  <si>
    <t>TPPOS</t>
  </si>
  <si>
    <t>Número do lote</t>
  </si>
  <si>
    <t>DTINVESTIG</t>
  </si>
  <si>
    <t>Data da investigação do óbito</t>
  </si>
  <si>
    <t>DTCADASTRO</t>
  </si>
  <si>
    <t>Data do cadastro do óbito</t>
  </si>
  <si>
    <t>STCODIFICA</t>
  </si>
  <si>
    <t>Status de instalação</t>
  </si>
  <si>
    <t>CODIFICADO</t>
  </si>
  <si>
    <t>Informa se formulario foi codificado</t>
  </si>
  <si>
    <t>VERSAOSIST</t>
  </si>
  <si>
    <t>Versão do sistema</t>
  </si>
  <si>
    <t>VERSAOSCB</t>
  </si>
  <si>
    <t>Versão do seletor de causa básica</t>
  </si>
  <si>
    <t>FONTEINV</t>
  </si>
  <si>
    <t>Fonte de investigação</t>
  </si>
  <si>
    <t>DTRECEBIM</t>
  </si>
  <si>
    <t>Data do recebimento</t>
  </si>
  <si>
    <t>ATESTADO</t>
  </si>
  <si>
    <t>CIDs informados no atestado</t>
  </si>
  <si>
    <t>DTRECORIGA</t>
  </si>
  <si>
    <t>Campo Criado no Tratamento para Data do recebimento original</t>
  </si>
  <si>
    <t>OPOR_DO</t>
  </si>
  <si>
    <t>Campo Criado no Tratamento para calcular Oportunidades</t>
  </si>
  <si>
    <t>CAUSAMAT</t>
  </si>
  <si>
    <t>CID da causa externa associada a uma causa materna</t>
  </si>
  <si>
    <t>ESCMAEAGR1</t>
  </si>
  <si>
    <t>Escolaridade da mãe agregada (ormulário a partir de 2010)</t>
  </si>
  <si>
    <t>ESCFALAGR1</t>
  </si>
  <si>
    <t>Escolaridade do falecido agregada (formulário a partir de 2010)</t>
  </si>
  <si>
    <t>STDOEPIDEM</t>
  </si>
  <si>
    <t>Status de DO Epidemiológica</t>
  </si>
  <si>
    <t>STDONOVA</t>
  </si>
  <si>
    <t>Status de DO Nova</t>
  </si>
  <si>
    <t>DIFDATA</t>
  </si>
  <si>
    <t>Diferença entre a data de óbito e data do recebimento original da DO ([DTOBITO] – [DTRECORIG])</t>
  </si>
  <si>
    <t>NUDIASOBCO</t>
  </si>
  <si>
    <t>Diferença entre a data óbito e a data conclusão da investigação, em dias.</t>
  </si>
  <si>
    <t>DTCADINV</t>
  </si>
  <si>
    <t>Data do cadastro de investigação</t>
  </si>
  <si>
    <t>NUDIASOBIN</t>
  </si>
  <si>
    <t>DTCONINV</t>
  </si>
  <si>
    <t>Data da conclusão da investigação</t>
  </si>
  <si>
    <t>FONTES</t>
  </si>
  <si>
    <t>Combinado de caracteres conforme o preenchimento dos campos de fontes (FONTENTREV, FONTEAMBUL, FONTEPRONT, FONTESVO, FONTEIML, FONTEPROF): se preenchido caractere “S”, se o campo estiver vazio caractere “X”</t>
  </si>
  <si>
    <t>TPRESGINFO</t>
  </si>
  <si>
    <t>Informa se a investigação permitiu o resgate de alguma causa de óbito não informado, ou a correção de alguma antes informada</t>
  </si>
  <si>
    <t>TPNIVELINV</t>
  </si>
  <si>
    <t>Tipo de nível investigador</t>
  </si>
  <si>
    <t>DTCADINF</t>
  </si>
  <si>
    <t>Quando preenchido indica se a investigação foi realizada</t>
  </si>
  <si>
    <t>MORTEPARTO</t>
  </si>
  <si>
    <t>Momento do óbito em relação ao parto após investigação</t>
  </si>
  <si>
    <t>DTCONCASO</t>
  </si>
  <si>
    <t>Data de conclusão do caso</t>
  </si>
  <si>
    <t>NUDIASINF</t>
  </si>
  <si>
    <t>ALTCAUSA</t>
  </si>
  <si>
    <t>Indica se houve correção ou alteração da causa do óbito após investigação</t>
  </si>
  <si>
    <t>Causa básica Original</t>
  </si>
  <si>
    <t>Óbito investigado</t>
  </si>
  <si>
    <t>TP_ALTERA</t>
  </si>
  <si>
    <t>Alteração do tipo da causa do óbito</t>
  </si>
  <si>
    <t>02 = CausaBas em branco 03 = CausaBas com ausência do 4 caractere 04 = Causas Asterisco 05 = CID não pode ser CausaBas 06 = CausaBas inválida para o Sexo Feminino 07 = CausaBas inválida para o Sexo Masculino 08 = CID Implausíveis 09 = Causas Erradicadas ou Causa U 10 = Causas Triviais 11 = Causas Improváveis 12 = Óbito Não Fetal com causa Fetal 13 = Óbito Fetal com causa Não Fetal 14 = Óbito Materno duvidoso 15 = Óbito possível de ser materno 16 = Óbito com restrição de idade (TP_MSG_5) 17 = Óbito com restrição de idade (TP_MSG_6)</t>
  </si>
  <si>
    <t>FONTESINF</t>
  </si>
  <si>
    <t>Semanas de gestação (formulário antigo)</t>
  </si>
  <si>
    <t>Faixas de semanas de gestação</t>
  </si>
  <si>
    <t>CB_ALT</t>
  </si>
  <si>
    <t>Variável de sistema</t>
  </si>
  <si>
    <t>Variável de sistema'</t>
  </si>
  <si>
    <t>COVID_CLAS</t>
  </si>
  <si>
    <t>MAT_CLAS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</si>
</sst>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5"/>
  <sheetViews>
    <sheetView tabSelected="1" workbookViewId="0">
      <pane ySplit="1" topLeftCell="A87" activePane="bottomLeft" state="frozen"/>
      <selection pane="bottomLeft" activeCell="F87" sqref="F87"/>
    </sheetView>
  </sheetViews>
  <sheetFormatPr defaultRowHeight="15"/>
  <cols>
    <col min="1" max="1" width="18.42578125" bestFit="1" customWidth="1"/>
    <col min="2" max="2" width="14.85546875" bestFit="1" customWidth="1"/>
    <col min="4" max="4" width="18.28515625" bestFit="1" customWidth="1"/>
    <col min="5" max="5" width="18.28515625" customWidth="1"/>
    <col min="6" max="6" width="15.85546875" bestFit="1" customWidth="1"/>
    <col min="7" max="7" width="70.7109375" customWidth="1"/>
    <col min="8" max="9" width="14.42578125" bestFit="1" customWidth="1"/>
  </cols>
  <sheetData>
    <row r="1" spans="1:9">
      <c r="A1" s="2" t="s">
        <v>0</v>
      </c>
      <c r="B1" t="s">
        <v>1</v>
      </c>
      <c r="D1" s="2" t="s">
        <v>2</v>
      </c>
      <c r="E1" s="2"/>
      <c r="F1" t="s">
        <v>3</v>
      </c>
    </row>
    <row r="2" spans="1:9">
      <c r="A2" t="e">
        <f>VLOOKUP(B2,$F$4:$F$88,1,FALSE)</f>
        <v>#N/A</v>
      </c>
      <c r="B2" t="s">
        <v>4</v>
      </c>
    </row>
    <row r="3" spans="1:9">
      <c r="A3" t="str">
        <f t="shared" ref="A3:A66" si="0">VLOOKUP(B3,$F$4:$F$88,1,FALSE)</f>
        <v>ORIGEM</v>
      </c>
      <c r="B3" t="s">
        <v>5</v>
      </c>
    </row>
    <row r="4" spans="1:9">
      <c r="A4" t="str">
        <f t="shared" si="0"/>
        <v>TIPOBITO</v>
      </c>
      <c r="B4" t="s">
        <v>6</v>
      </c>
      <c r="D4" t="str">
        <f>VLOOKUP(F4,$B$2:$B$97,1,FALSE)</f>
        <v>TIPOBITO</v>
      </c>
      <c r="E4" t="str">
        <f>_xlfn.CONCAT(",",F4)</f>
        <v>,TIPOBITO</v>
      </c>
      <c r="F4" s="1" t="s">
        <v>6</v>
      </c>
      <c r="G4" t="s">
        <v>7</v>
      </c>
      <c r="H4" t="s">
        <v>8</v>
      </c>
      <c r="I4" t="s">
        <v>9</v>
      </c>
    </row>
    <row r="5" spans="1:9">
      <c r="A5" t="str">
        <f t="shared" si="0"/>
        <v>DTOBITO</v>
      </c>
      <c r="B5" t="s">
        <v>10</v>
      </c>
      <c r="D5" t="str">
        <f t="shared" ref="D5:D68" si="1">VLOOKUP(F5,$B$2:$B$97,1,FALSE)</f>
        <v>DTOBITO</v>
      </c>
      <c r="E5" t="str">
        <f t="shared" ref="E5:E68" si="2">_xlfn.CONCAT(",",F5)</f>
        <v>,DTOBITO</v>
      </c>
      <c r="F5" t="s">
        <v>10</v>
      </c>
      <c r="G5" t="s">
        <v>11</v>
      </c>
      <c r="H5" t="s">
        <v>8</v>
      </c>
      <c r="I5" t="s">
        <v>12</v>
      </c>
    </row>
    <row r="6" spans="1:9">
      <c r="A6" t="str">
        <f t="shared" si="0"/>
        <v>HORAOBITO</v>
      </c>
      <c r="B6" t="s">
        <v>13</v>
      </c>
      <c r="D6" t="str">
        <f t="shared" si="1"/>
        <v>HORAOBITO</v>
      </c>
      <c r="E6" t="str">
        <f t="shared" si="2"/>
        <v>,HORAOBITO</v>
      </c>
      <c r="F6" t="s">
        <v>13</v>
      </c>
      <c r="G6" t="s">
        <v>14</v>
      </c>
      <c r="H6" t="s">
        <v>8</v>
      </c>
      <c r="I6" t="s">
        <v>15</v>
      </c>
    </row>
    <row r="7" spans="1:9">
      <c r="A7" t="str">
        <f t="shared" si="0"/>
        <v>NATURAL</v>
      </c>
      <c r="B7" t="s">
        <v>16</v>
      </c>
      <c r="D7" t="str">
        <f t="shared" si="1"/>
        <v>NATURAL</v>
      </c>
      <c r="E7" t="str">
        <f t="shared" si="2"/>
        <v>,NATURAL</v>
      </c>
      <c r="F7" t="s">
        <v>16</v>
      </c>
      <c r="G7" t="s">
        <v>17</v>
      </c>
      <c r="H7" t="s">
        <v>8</v>
      </c>
      <c r="I7" t="s">
        <v>18</v>
      </c>
    </row>
    <row r="8" spans="1:9">
      <c r="A8" t="str">
        <f t="shared" si="0"/>
        <v>CODMUNNATU</v>
      </c>
      <c r="B8" t="s">
        <v>19</v>
      </c>
      <c r="D8" t="str">
        <f t="shared" si="1"/>
        <v>CODMUNNATU</v>
      </c>
      <c r="E8" t="str">
        <f t="shared" si="2"/>
        <v>,CODMUNNATU</v>
      </c>
      <c r="F8" t="s">
        <v>19</v>
      </c>
      <c r="G8" t="s">
        <v>20</v>
      </c>
      <c r="H8" t="s">
        <v>8</v>
      </c>
      <c r="I8" t="s">
        <v>21</v>
      </c>
    </row>
    <row r="9" spans="1:9">
      <c r="A9" t="str">
        <f t="shared" si="0"/>
        <v>DTNASC</v>
      </c>
      <c r="B9" t="s">
        <v>22</v>
      </c>
      <c r="D9" t="str">
        <f t="shared" si="1"/>
        <v>DTNASC</v>
      </c>
      <c r="E9" t="str">
        <f t="shared" si="2"/>
        <v>,DTNASC</v>
      </c>
      <c r="F9" t="s">
        <v>22</v>
      </c>
      <c r="G9" t="s">
        <v>23</v>
      </c>
      <c r="H9" t="s">
        <v>8</v>
      </c>
      <c r="I9" t="s">
        <v>24</v>
      </c>
    </row>
    <row r="10" spans="1:9">
      <c r="A10" t="str">
        <f t="shared" si="0"/>
        <v>IDADE</v>
      </c>
      <c r="B10" t="s">
        <v>25</v>
      </c>
      <c r="D10" t="str">
        <f t="shared" si="1"/>
        <v>IDADE</v>
      </c>
      <c r="E10" t="str">
        <f t="shared" si="2"/>
        <v>,IDADE</v>
      </c>
      <c r="F10" t="s">
        <v>25</v>
      </c>
      <c r="G10" t="s">
        <v>26</v>
      </c>
      <c r="H10" t="s">
        <v>8</v>
      </c>
      <c r="I10" t="s">
        <v>27</v>
      </c>
    </row>
    <row r="11" spans="1:9">
      <c r="A11" t="str">
        <f t="shared" si="0"/>
        <v>SEXO</v>
      </c>
      <c r="B11" t="s">
        <v>28</v>
      </c>
      <c r="D11" t="str">
        <f t="shared" si="1"/>
        <v>SEXO</v>
      </c>
      <c r="E11" t="str">
        <f t="shared" si="2"/>
        <v>,SEXO</v>
      </c>
      <c r="F11" t="s">
        <v>28</v>
      </c>
      <c r="G11" t="s">
        <v>29</v>
      </c>
      <c r="H11" t="s">
        <v>8</v>
      </c>
      <c r="I11" t="s">
        <v>30</v>
      </c>
    </row>
    <row r="12" spans="1:9">
      <c r="A12" t="str">
        <f t="shared" si="0"/>
        <v>RACACOR</v>
      </c>
      <c r="B12" t="s">
        <v>31</v>
      </c>
      <c r="D12" t="str">
        <f t="shared" si="1"/>
        <v>RACACOR</v>
      </c>
      <c r="E12" t="str">
        <f t="shared" si="2"/>
        <v>,RACACOR</v>
      </c>
      <c r="F12" t="s">
        <v>31</v>
      </c>
      <c r="G12" t="s">
        <v>32</v>
      </c>
      <c r="H12" t="s">
        <v>8</v>
      </c>
      <c r="I12" t="s">
        <v>33</v>
      </c>
    </row>
    <row r="13" spans="1:9">
      <c r="A13" t="str">
        <f t="shared" si="0"/>
        <v>ESTCIV</v>
      </c>
      <c r="B13" t="s">
        <v>34</v>
      </c>
      <c r="D13" t="str">
        <f t="shared" si="1"/>
        <v>ESTCIV</v>
      </c>
      <c r="E13" t="str">
        <f t="shared" si="2"/>
        <v>,ESTCIV</v>
      </c>
      <c r="F13" t="s">
        <v>34</v>
      </c>
      <c r="G13" t="s">
        <v>35</v>
      </c>
      <c r="H13" t="s">
        <v>8</v>
      </c>
      <c r="I13" t="s">
        <v>36</v>
      </c>
    </row>
    <row r="14" spans="1:9">
      <c r="A14" t="str">
        <f t="shared" si="0"/>
        <v>ESC</v>
      </c>
      <c r="B14" t="s">
        <v>37</v>
      </c>
      <c r="D14" t="str">
        <f t="shared" si="1"/>
        <v>ESC2010</v>
      </c>
      <c r="E14" t="str">
        <f t="shared" si="2"/>
        <v>,ESC2010</v>
      </c>
      <c r="F14" t="s">
        <v>38</v>
      </c>
      <c r="G14" t="s">
        <v>39</v>
      </c>
      <c r="H14" t="s">
        <v>8</v>
      </c>
      <c r="I14" t="s">
        <v>40</v>
      </c>
    </row>
    <row r="15" spans="1:9">
      <c r="A15" t="str">
        <f t="shared" si="0"/>
        <v>ESC2010</v>
      </c>
      <c r="B15" t="s">
        <v>38</v>
      </c>
      <c r="D15" t="str">
        <f t="shared" si="1"/>
        <v>SERIESCFAL</v>
      </c>
      <c r="E15" t="str">
        <f t="shared" si="2"/>
        <v>,SERIESCFAL</v>
      </c>
      <c r="F15" t="s">
        <v>41</v>
      </c>
      <c r="G15" t="s">
        <v>42</v>
      </c>
      <c r="H15" t="s">
        <v>8</v>
      </c>
      <c r="I15" t="s">
        <v>43</v>
      </c>
    </row>
    <row r="16" spans="1:9">
      <c r="A16" t="str">
        <f t="shared" si="0"/>
        <v>SERIESCFAL</v>
      </c>
      <c r="B16" t="s">
        <v>41</v>
      </c>
      <c r="D16" t="str">
        <f t="shared" si="1"/>
        <v>OCUP</v>
      </c>
      <c r="E16" t="str">
        <f t="shared" si="2"/>
        <v>,OCUP</v>
      </c>
      <c r="F16" t="s">
        <v>44</v>
      </c>
      <c r="G16" t="s">
        <v>45</v>
      </c>
      <c r="H16" t="s">
        <v>8</v>
      </c>
      <c r="I16" t="s">
        <v>46</v>
      </c>
    </row>
    <row r="17" spans="1:9">
      <c r="A17" t="str">
        <f t="shared" si="0"/>
        <v>OCUP</v>
      </c>
      <c r="B17" t="s">
        <v>44</v>
      </c>
      <c r="D17" t="str">
        <f t="shared" si="1"/>
        <v>CODMUNRES</v>
      </c>
      <c r="E17" t="str">
        <f t="shared" si="2"/>
        <v>,CODMUNRES</v>
      </c>
      <c r="F17" t="s">
        <v>47</v>
      </c>
      <c r="G17" t="s">
        <v>48</v>
      </c>
      <c r="H17" t="s">
        <v>8</v>
      </c>
      <c r="I17" t="s">
        <v>49</v>
      </c>
    </row>
    <row r="18" spans="1:9">
      <c r="A18" t="str">
        <f t="shared" si="0"/>
        <v>CODMUNRES</v>
      </c>
      <c r="B18" t="s">
        <v>47</v>
      </c>
      <c r="D18" t="str">
        <f t="shared" si="1"/>
        <v>LOCOCOR</v>
      </c>
      <c r="E18" t="str">
        <f t="shared" si="2"/>
        <v>,LOCOCOR</v>
      </c>
      <c r="F18" t="s">
        <v>50</v>
      </c>
      <c r="G18" t="s">
        <v>51</v>
      </c>
      <c r="H18" t="s">
        <v>8</v>
      </c>
      <c r="I18" t="s">
        <v>52</v>
      </c>
    </row>
    <row r="19" spans="1:9">
      <c r="A19" t="str">
        <f t="shared" si="0"/>
        <v>LOCOCOR</v>
      </c>
      <c r="B19" t="s">
        <v>50</v>
      </c>
      <c r="D19" t="str">
        <f t="shared" si="1"/>
        <v>CODESTAB</v>
      </c>
      <c r="E19" t="str">
        <f t="shared" si="2"/>
        <v>,CODESTAB</v>
      </c>
      <c r="F19" t="s">
        <v>53</v>
      </c>
      <c r="G19" t="s">
        <v>54</v>
      </c>
      <c r="H19" t="s">
        <v>8</v>
      </c>
      <c r="I19" t="s">
        <v>55</v>
      </c>
    </row>
    <row r="20" spans="1:9">
      <c r="A20" t="str">
        <f t="shared" si="0"/>
        <v>CODESTAB</v>
      </c>
      <c r="B20" t="s">
        <v>53</v>
      </c>
      <c r="D20" t="str">
        <f t="shared" si="1"/>
        <v>CODMUNOCOR</v>
      </c>
      <c r="E20" t="str">
        <f t="shared" si="2"/>
        <v>,CODMUNOCOR</v>
      </c>
      <c r="F20" t="s">
        <v>56</v>
      </c>
      <c r="G20" t="s">
        <v>57</v>
      </c>
      <c r="H20" t="s">
        <v>8</v>
      </c>
      <c r="I20" t="s">
        <v>58</v>
      </c>
    </row>
    <row r="21" spans="1:9">
      <c r="A21" t="e">
        <f t="shared" si="0"/>
        <v>#N/A</v>
      </c>
      <c r="B21" t="s">
        <v>59</v>
      </c>
      <c r="D21" t="str">
        <f t="shared" si="1"/>
        <v>IDADEMAE</v>
      </c>
      <c r="E21" t="str">
        <f t="shared" si="2"/>
        <v>,IDADEMAE</v>
      </c>
      <c r="F21" t="s">
        <v>60</v>
      </c>
      <c r="G21" t="s">
        <v>61</v>
      </c>
      <c r="H21" t="s">
        <v>8</v>
      </c>
      <c r="I21" t="s">
        <v>62</v>
      </c>
    </row>
    <row r="22" spans="1:9">
      <c r="A22" t="str">
        <f t="shared" si="0"/>
        <v>CODMUNOCOR</v>
      </c>
      <c r="B22" t="s">
        <v>56</v>
      </c>
      <c r="D22" t="str">
        <f t="shared" si="1"/>
        <v>ESCMAE2010</v>
      </c>
      <c r="E22" t="str">
        <f t="shared" si="2"/>
        <v>,ESCMAE2010</v>
      </c>
      <c r="F22" t="s">
        <v>63</v>
      </c>
      <c r="G22" t="s">
        <v>39</v>
      </c>
      <c r="H22" t="s">
        <v>8</v>
      </c>
      <c r="I22" t="s">
        <v>64</v>
      </c>
    </row>
    <row r="23" spans="1:9">
      <c r="A23" t="str">
        <f t="shared" si="0"/>
        <v>IDADEMAE</v>
      </c>
      <c r="B23" t="s">
        <v>60</v>
      </c>
      <c r="D23" t="str">
        <f t="shared" si="1"/>
        <v>SERIESCMAE</v>
      </c>
      <c r="E23" t="str">
        <f t="shared" si="2"/>
        <v>,SERIESCMAE</v>
      </c>
      <c r="F23" t="s">
        <v>65</v>
      </c>
      <c r="G23" t="s">
        <v>42</v>
      </c>
      <c r="H23" t="s">
        <v>8</v>
      </c>
      <c r="I23" t="s">
        <v>66</v>
      </c>
    </row>
    <row r="24" spans="1:9">
      <c r="A24" t="str">
        <f t="shared" si="0"/>
        <v>ESCMAE</v>
      </c>
      <c r="B24" t="s">
        <v>67</v>
      </c>
      <c r="D24" t="str">
        <f t="shared" si="1"/>
        <v>OCUPMAE</v>
      </c>
      <c r="E24" t="str">
        <f t="shared" si="2"/>
        <v>,OCUPMAE</v>
      </c>
      <c r="F24" t="s">
        <v>68</v>
      </c>
      <c r="G24" t="s">
        <v>69</v>
      </c>
      <c r="H24" t="s">
        <v>8</v>
      </c>
      <c r="I24" t="s">
        <v>70</v>
      </c>
    </row>
    <row r="25" spans="1:9">
      <c r="A25" t="str">
        <f t="shared" si="0"/>
        <v>ESCMAE2010</v>
      </c>
      <c r="B25" t="s">
        <v>63</v>
      </c>
      <c r="D25" t="str">
        <f t="shared" si="1"/>
        <v>QTDFILVIVO</v>
      </c>
      <c r="E25" t="str">
        <f t="shared" si="2"/>
        <v>,QTDFILVIVO</v>
      </c>
      <c r="F25" t="s">
        <v>71</v>
      </c>
      <c r="G25" t="s">
        <v>72</v>
      </c>
      <c r="H25" t="s">
        <v>8</v>
      </c>
      <c r="I25" t="s">
        <v>73</v>
      </c>
    </row>
    <row r="26" spans="1:9">
      <c r="A26" t="str">
        <f t="shared" si="0"/>
        <v>SERIESCMAE</v>
      </c>
      <c r="B26" t="s">
        <v>65</v>
      </c>
      <c r="D26" t="str">
        <f t="shared" si="1"/>
        <v>QTDFILMORT</v>
      </c>
      <c r="E26" t="str">
        <f t="shared" si="2"/>
        <v>,QTDFILMORT</v>
      </c>
      <c r="F26" t="s">
        <v>74</v>
      </c>
      <c r="G26" t="s">
        <v>75</v>
      </c>
      <c r="H26" t="s">
        <v>8</v>
      </c>
      <c r="I26" t="s">
        <v>76</v>
      </c>
    </row>
    <row r="27" spans="1:9">
      <c r="A27" t="str">
        <f t="shared" si="0"/>
        <v>OCUPMAE</v>
      </c>
      <c r="B27" t="s">
        <v>68</v>
      </c>
      <c r="D27" t="str">
        <f t="shared" si="1"/>
        <v>GRAVIDEZ</v>
      </c>
      <c r="E27" t="str">
        <f t="shared" si="2"/>
        <v>,GRAVIDEZ</v>
      </c>
      <c r="F27" t="s">
        <v>77</v>
      </c>
      <c r="G27" t="s">
        <v>78</v>
      </c>
      <c r="H27" t="s">
        <v>8</v>
      </c>
      <c r="I27" t="s">
        <v>79</v>
      </c>
    </row>
    <row r="28" spans="1:9">
      <c r="A28" t="str">
        <f t="shared" si="0"/>
        <v>QTDFILVIVO</v>
      </c>
      <c r="B28" t="s">
        <v>71</v>
      </c>
      <c r="D28" t="str">
        <f t="shared" si="1"/>
        <v>SEMAGESTAC</v>
      </c>
      <c r="E28" t="str">
        <f t="shared" si="2"/>
        <v>,SEMAGESTAC</v>
      </c>
      <c r="F28" t="s">
        <v>80</v>
      </c>
      <c r="G28" t="s">
        <v>81</v>
      </c>
      <c r="H28" t="s">
        <v>8</v>
      </c>
      <c r="I28" t="s">
        <v>82</v>
      </c>
    </row>
    <row r="29" spans="1:9">
      <c r="A29" t="str">
        <f t="shared" si="0"/>
        <v>QTDFILMORT</v>
      </c>
      <c r="B29" t="s">
        <v>74</v>
      </c>
      <c r="D29" t="str">
        <f t="shared" si="1"/>
        <v>PARTO</v>
      </c>
      <c r="E29" t="str">
        <f t="shared" si="2"/>
        <v>,PARTO</v>
      </c>
      <c r="F29" t="s">
        <v>83</v>
      </c>
      <c r="G29" t="s">
        <v>84</v>
      </c>
      <c r="H29" t="s">
        <v>8</v>
      </c>
      <c r="I29" t="s">
        <v>85</v>
      </c>
    </row>
    <row r="30" spans="1:9">
      <c r="A30" t="str">
        <f t="shared" si="0"/>
        <v>GRAVIDEZ</v>
      </c>
      <c r="B30" t="s">
        <v>77</v>
      </c>
      <c r="D30" t="str">
        <f t="shared" si="1"/>
        <v>OBITOPARTO</v>
      </c>
      <c r="E30" t="str">
        <f t="shared" si="2"/>
        <v>,OBITOPARTO</v>
      </c>
      <c r="F30" t="s">
        <v>86</v>
      </c>
      <c r="G30" t="s">
        <v>87</v>
      </c>
      <c r="H30" t="s">
        <v>8</v>
      </c>
      <c r="I30" t="s">
        <v>88</v>
      </c>
    </row>
    <row r="31" spans="1:9">
      <c r="A31" t="str">
        <f t="shared" si="0"/>
        <v>SEMAGESTAC</v>
      </c>
      <c r="B31" t="s">
        <v>80</v>
      </c>
      <c r="D31" t="str">
        <f t="shared" si="1"/>
        <v>PESO</v>
      </c>
      <c r="E31" t="str">
        <f t="shared" si="2"/>
        <v>,PESO</v>
      </c>
      <c r="F31" t="s">
        <v>89</v>
      </c>
      <c r="G31" t="s">
        <v>90</v>
      </c>
      <c r="H31" t="s">
        <v>8</v>
      </c>
      <c r="I31" t="s">
        <v>91</v>
      </c>
    </row>
    <row r="32" spans="1:9">
      <c r="A32" t="str">
        <f t="shared" si="0"/>
        <v>GESTACAO</v>
      </c>
      <c r="B32" t="s">
        <v>92</v>
      </c>
      <c r="D32" t="str">
        <f t="shared" si="1"/>
        <v>TPMORTEOCO</v>
      </c>
      <c r="E32" t="str">
        <f t="shared" si="2"/>
        <v>,TPMORTEOCO</v>
      </c>
      <c r="F32" t="s">
        <v>93</v>
      </c>
      <c r="G32" t="s">
        <v>94</v>
      </c>
      <c r="H32" t="s">
        <v>8</v>
      </c>
      <c r="I32" t="s">
        <v>95</v>
      </c>
    </row>
    <row r="33" spans="1:9">
      <c r="A33" t="str">
        <f t="shared" si="0"/>
        <v>PARTO</v>
      </c>
      <c r="B33" t="s">
        <v>83</v>
      </c>
      <c r="D33" t="str">
        <f t="shared" si="1"/>
        <v>ASSISTMED</v>
      </c>
      <c r="E33" t="str">
        <f t="shared" si="2"/>
        <v>,ASSISTMED</v>
      </c>
      <c r="F33" t="s">
        <v>96</v>
      </c>
      <c r="G33" t="s">
        <v>97</v>
      </c>
      <c r="H33" t="s">
        <v>8</v>
      </c>
      <c r="I33" t="s">
        <v>98</v>
      </c>
    </row>
    <row r="34" spans="1:9">
      <c r="A34" t="str">
        <f t="shared" si="0"/>
        <v>OBITOPARTO</v>
      </c>
      <c r="B34" t="s">
        <v>86</v>
      </c>
      <c r="D34" t="str">
        <f t="shared" si="1"/>
        <v>NECROPSIA</v>
      </c>
      <c r="E34" t="str">
        <f t="shared" si="2"/>
        <v>,NECROPSIA</v>
      </c>
      <c r="F34" t="s">
        <v>99</v>
      </c>
      <c r="G34" t="s">
        <v>100</v>
      </c>
      <c r="H34" t="s">
        <v>8</v>
      </c>
      <c r="I34" t="s">
        <v>101</v>
      </c>
    </row>
    <row r="35" spans="1:9">
      <c r="A35" t="str">
        <f t="shared" si="0"/>
        <v>PESO</v>
      </c>
      <c r="B35" t="s">
        <v>89</v>
      </c>
      <c r="D35" t="str">
        <f t="shared" si="1"/>
        <v>LINHAA</v>
      </c>
      <c r="E35" t="str">
        <f t="shared" si="2"/>
        <v>,LINHAA</v>
      </c>
      <c r="F35" t="s">
        <v>102</v>
      </c>
      <c r="G35" t="s">
        <v>103</v>
      </c>
      <c r="H35" t="s">
        <v>8</v>
      </c>
      <c r="I35" t="s">
        <v>104</v>
      </c>
    </row>
    <row r="36" spans="1:9">
      <c r="A36" t="str">
        <f t="shared" si="0"/>
        <v>TPMORTEOCO</v>
      </c>
      <c r="B36" t="s">
        <v>93</v>
      </c>
      <c r="D36" t="str">
        <f t="shared" si="1"/>
        <v>LINHAB</v>
      </c>
      <c r="E36" t="str">
        <f t="shared" si="2"/>
        <v>,LINHAB</v>
      </c>
      <c r="F36" t="s">
        <v>105</v>
      </c>
      <c r="G36" t="s">
        <v>103</v>
      </c>
      <c r="H36" t="s">
        <v>8</v>
      </c>
      <c r="I36" t="s">
        <v>106</v>
      </c>
    </row>
    <row r="37" spans="1:9">
      <c r="A37" t="str">
        <f t="shared" si="0"/>
        <v>OBITOGRAV</v>
      </c>
      <c r="B37" t="s">
        <v>107</v>
      </c>
      <c r="D37" t="str">
        <f t="shared" si="1"/>
        <v>LINHAC</v>
      </c>
      <c r="E37" t="str">
        <f t="shared" si="2"/>
        <v>,LINHAC</v>
      </c>
      <c r="F37" t="s">
        <v>108</v>
      </c>
      <c r="G37" t="s">
        <v>103</v>
      </c>
      <c r="H37" t="s">
        <v>8</v>
      </c>
      <c r="I37" t="s">
        <v>109</v>
      </c>
    </row>
    <row r="38" spans="1:9">
      <c r="A38" t="str">
        <f t="shared" si="0"/>
        <v>OBITOPUERP</v>
      </c>
      <c r="B38" t="s">
        <v>110</v>
      </c>
      <c r="D38" t="str">
        <f t="shared" si="1"/>
        <v>LINHAD</v>
      </c>
      <c r="E38" t="str">
        <f t="shared" si="2"/>
        <v>,LINHAD</v>
      </c>
      <c r="F38" t="s">
        <v>111</v>
      </c>
      <c r="G38" t="s">
        <v>103</v>
      </c>
      <c r="H38" t="s">
        <v>8</v>
      </c>
      <c r="I38" t="s">
        <v>112</v>
      </c>
    </row>
    <row r="39" spans="1:9">
      <c r="A39" t="str">
        <f t="shared" si="0"/>
        <v>ASSISTMED</v>
      </c>
      <c r="B39" t="s">
        <v>96</v>
      </c>
      <c r="D39" t="str">
        <f t="shared" si="1"/>
        <v>LINHAII</v>
      </c>
      <c r="E39" t="str">
        <f t="shared" si="2"/>
        <v>,LINHAII</v>
      </c>
      <c r="F39" t="s">
        <v>113</v>
      </c>
      <c r="G39" t="s">
        <v>114</v>
      </c>
      <c r="I39" t="s">
        <v>115</v>
      </c>
    </row>
    <row r="40" spans="1:9">
      <c r="A40" t="str">
        <f t="shared" si="0"/>
        <v>EXAME</v>
      </c>
      <c r="B40" t="s">
        <v>116</v>
      </c>
      <c r="D40" t="str">
        <f t="shared" si="1"/>
        <v>CAUSABAS</v>
      </c>
      <c r="E40" t="str">
        <f t="shared" si="2"/>
        <v>,CAUSABAS</v>
      </c>
      <c r="F40" t="s">
        <v>117</v>
      </c>
      <c r="G40" t="s">
        <v>118</v>
      </c>
      <c r="H40" t="s">
        <v>8</v>
      </c>
      <c r="I40" t="s">
        <v>119</v>
      </c>
    </row>
    <row r="41" spans="1:9">
      <c r="A41" t="str">
        <f t="shared" si="0"/>
        <v>CIRURGIA</v>
      </c>
      <c r="B41" t="s">
        <v>120</v>
      </c>
      <c r="D41" t="str">
        <f t="shared" si="1"/>
        <v>ATESTANTE</v>
      </c>
      <c r="E41" t="str">
        <f t="shared" si="2"/>
        <v>,ATESTANTE</v>
      </c>
      <c r="F41" t="s">
        <v>121</v>
      </c>
      <c r="G41" t="s">
        <v>122</v>
      </c>
      <c r="H41" t="s">
        <v>8</v>
      </c>
      <c r="I41" t="s">
        <v>123</v>
      </c>
    </row>
    <row r="42" spans="1:9">
      <c r="A42" t="str">
        <f t="shared" si="0"/>
        <v>NECROPSIA</v>
      </c>
      <c r="B42" t="s">
        <v>99</v>
      </c>
      <c r="D42" t="str">
        <f t="shared" si="1"/>
        <v>COMUNSVOIM</v>
      </c>
      <c r="E42" t="str">
        <f t="shared" si="2"/>
        <v>,COMUNSVOIM</v>
      </c>
      <c r="F42" t="s">
        <v>124</v>
      </c>
      <c r="G42" t="s">
        <v>125</v>
      </c>
      <c r="H42" t="s">
        <v>8</v>
      </c>
      <c r="I42" t="s">
        <v>126</v>
      </c>
    </row>
    <row r="43" spans="1:9">
      <c r="A43" t="str">
        <f t="shared" si="0"/>
        <v>LINHAA</v>
      </c>
      <c r="B43" t="s">
        <v>102</v>
      </c>
      <c r="D43" t="str">
        <f t="shared" si="1"/>
        <v>DTATESTADO</v>
      </c>
      <c r="E43" t="str">
        <f t="shared" si="2"/>
        <v>,DTATESTADO</v>
      </c>
      <c r="F43" t="s">
        <v>127</v>
      </c>
      <c r="G43" t="s">
        <v>128</v>
      </c>
      <c r="H43" t="s">
        <v>8</v>
      </c>
      <c r="I43" t="s">
        <v>129</v>
      </c>
    </row>
    <row r="44" spans="1:9">
      <c r="A44" t="str">
        <f t="shared" si="0"/>
        <v>LINHAB</v>
      </c>
      <c r="B44" t="s">
        <v>105</v>
      </c>
      <c r="D44" t="str">
        <f t="shared" si="1"/>
        <v>CIRCOBITO</v>
      </c>
      <c r="E44" t="str">
        <f t="shared" si="2"/>
        <v>,CIRCOBITO</v>
      </c>
      <c r="F44" t="s">
        <v>130</v>
      </c>
      <c r="G44" t="s">
        <v>131</v>
      </c>
      <c r="H44" t="s">
        <v>8</v>
      </c>
      <c r="I44" t="s">
        <v>132</v>
      </c>
    </row>
    <row r="45" spans="1:9">
      <c r="A45" t="str">
        <f t="shared" si="0"/>
        <v>LINHAC</v>
      </c>
      <c r="B45" t="s">
        <v>108</v>
      </c>
      <c r="D45" t="str">
        <f t="shared" si="1"/>
        <v>ACIDTRAB</v>
      </c>
      <c r="E45" t="str">
        <f t="shared" si="2"/>
        <v>,ACIDTRAB</v>
      </c>
      <c r="F45" t="s">
        <v>133</v>
      </c>
      <c r="G45" t="s">
        <v>134</v>
      </c>
      <c r="H45" t="s">
        <v>8</v>
      </c>
      <c r="I45" t="s">
        <v>135</v>
      </c>
    </row>
    <row r="46" spans="1:9">
      <c r="A46" t="str">
        <f t="shared" si="0"/>
        <v>LINHAD</v>
      </c>
      <c r="B46" t="s">
        <v>111</v>
      </c>
      <c r="D46" t="str">
        <f t="shared" si="1"/>
        <v>FONTE</v>
      </c>
      <c r="E46" t="str">
        <f t="shared" si="2"/>
        <v>,FONTE</v>
      </c>
      <c r="F46" t="s">
        <v>136</v>
      </c>
      <c r="G46" t="s">
        <v>137</v>
      </c>
      <c r="H46" t="s">
        <v>8</v>
      </c>
      <c r="I46" t="s">
        <v>138</v>
      </c>
    </row>
    <row r="47" spans="1:9">
      <c r="A47" t="str">
        <f t="shared" si="0"/>
        <v>LINHAII</v>
      </c>
      <c r="B47" t="s">
        <v>113</v>
      </c>
      <c r="D47" t="str">
        <f t="shared" si="1"/>
        <v>TPOBITOCOR</v>
      </c>
      <c r="E47" t="str">
        <f t="shared" si="2"/>
        <v>,TPOBITOCOR</v>
      </c>
      <c r="F47" t="s">
        <v>139</v>
      </c>
      <c r="G47" t="s">
        <v>140</v>
      </c>
      <c r="H47" t="s">
        <v>8</v>
      </c>
      <c r="I47" t="s">
        <v>141</v>
      </c>
    </row>
    <row r="48" spans="1:9">
      <c r="A48" t="str">
        <f t="shared" si="0"/>
        <v>CAUSABAS</v>
      </c>
      <c r="B48" t="s">
        <v>117</v>
      </c>
      <c r="D48" t="str">
        <f t="shared" si="1"/>
        <v>ORIGEM</v>
      </c>
      <c r="E48" t="str">
        <f t="shared" si="2"/>
        <v>,ORIGEM</v>
      </c>
      <c r="F48" t="s">
        <v>5</v>
      </c>
      <c r="G48" t="s">
        <v>142</v>
      </c>
      <c r="H48" t="s">
        <v>8</v>
      </c>
      <c r="I48" s="1" t="s">
        <v>143</v>
      </c>
    </row>
    <row r="49" spans="1:9">
      <c r="A49" t="e">
        <f t="shared" si="0"/>
        <v>#N/A</v>
      </c>
      <c r="B49" t="s">
        <v>144</v>
      </c>
      <c r="D49" t="str">
        <f t="shared" si="1"/>
        <v>ESC</v>
      </c>
      <c r="E49" t="str">
        <f t="shared" si="2"/>
        <v>,ESC</v>
      </c>
      <c r="F49" t="s">
        <v>37</v>
      </c>
      <c r="G49" t="s">
        <v>145</v>
      </c>
      <c r="H49" t="s">
        <v>8</v>
      </c>
      <c r="I49" t="s">
        <v>145</v>
      </c>
    </row>
    <row r="50" spans="1:9">
      <c r="A50" t="str">
        <f t="shared" si="0"/>
        <v>COMUNSVOIM</v>
      </c>
      <c r="B50" t="s">
        <v>124</v>
      </c>
      <c r="D50" t="str">
        <f t="shared" si="1"/>
        <v>ESCMAE</v>
      </c>
      <c r="E50" t="str">
        <f t="shared" si="2"/>
        <v>,ESCMAE</v>
      </c>
      <c r="F50" t="s">
        <v>67</v>
      </c>
      <c r="G50" t="s">
        <v>146</v>
      </c>
      <c r="H50" t="s">
        <v>8</v>
      </c>
      <c r="I50" t="s">
        <v>146</v>
      </c>
    </row>
    <row r="51" spans="1:9">
      <c r="A51" t="str">
        <f t="shared" si="0"/>
        <v>DTATESTADO</v>
      </c>
      <c r="B51" t="s">
        <v>127</v>
      </c>
      <c r="D51" t="str">
        <f t="shared" si="1"/>
        <v>OBITOGRAV</v>
      </c>
      <c r="E51" t="str">
        <f t="shared" si="2"/>
        <v>,OBITOGRAV</v>
      </c>
      <c r="F51" t="s">
        <v>107</v>
      </c>
      <c r="G51" t="s">
        <v>147</v>
      </c>
      <c r="H51" t="s">
        <v>8</v>
      </c>
      <c r="I51" t="s">
        <v>147</v>
      </c>
    </row>
    <row r="52" spans="1:9">
      <c r="A52" t="str">
        <f t="shared" si="0"/>
        <v>CIRCOBITO</v>
      </c>
      <c r="B52" t="s">
        <v>130</v>
      </c>
      <c r="D52" t="str">
        <f t="shared" si="1"/>
        <v>OBITOPUERP</v>
      </c>
      <c r="E52" t="str">
        <f t="shared" si="2"/>
        <v>,OBITOPUERP</v>
      </c>
      <c r="F52" t="s">
        <v>110</v>
      </c>
      <c r="G52" t="s">
        <v>148</v>
      </c>
      <c r="H52" t="s">
        <v>8</v>
      </c>
      <c r="I52" t="s">
        <v>148</v>
      </c>
    </row>
    <row r="53" spans="1:9">
      <c r="A53" t="str">
        <f t="shared" si="0"/>
        <v>ACIDTRAB</v>
      </c>
      <c r="B53" t="s">
        <v>133</v>
      </c>
      <c r="D53" t="str">
        <f t="shared" si="1"/>
        <v>EXAME</v>
      </c>
      <c r="E53" t="str">
        <f t="shared" si="2"/>
        <v>,EXAME</v>
      </c>
      <c r="F53" t="s">
        <v>116</v>
      </c>
      <c r="G53" t="s">
        <v>149</v>
      </c>
      <c r="H53" t="s">
        <v>8</v>
      </c>
      <c r="I53" t="s">
        <v>149</v>
      </c>
    </row>
    <row r="54" spans="1:9">
      <c r="A54" t="str">
        <f t="shared" si="0"/>
        <v>FONTE</v>
      </c>
      <c r="B54" t="s">
        <v>136</v>
      </c>
      <c r="D54" t="str">
        <f t="shared" si="1"/>
        <v>CIRURGIA</v>
      </c>
      <c r="E54" t="str">
        <f t="shared" si="2"/>
        <v>,CIRURGIA</v>
      </c>
      <c r="F54" t="s">
        <v>120</v>
      </c>
      <c r="G54" t="s">
        <v>150</v>
      </c>
      <c r="H54" t="s">
        <v>8</v>
      </c>
      <c r="I54" t="s">
        <v>150</v>
      </c>
    </row>
    <row r="55" spans="1:9">
      <c r="A55" t="str">
        <f t="shared" si="0"/>
        <v>NUMEROLOTE</v>
      </c>
      <c r="B55" t="s">
        <v>151</v>
      </c>
      <c r="D55" t="str">
        <f t="shared" si="1"/>
        <v>CAUSABAS_O</v>
      </c>
      <c r="E55" t="str">
        <f t="shared" si="2"/>
        <v>,CAUSABAS_O</v>
      </c>
      <c r="F55" t="s">
        <v>152</v>
      </c>
      <c r="G55" t="s">
        <v>153</v>
      </c>
      <c r="H55" t="s">
        <v>8</v>
      </c>
      <c r="I55" t="s">
        <v>153</v>
      </c>
    </row>
    <row r="56" spans="1:9">
      <c r="A56" t="str">
        <f t="shared" si="0"/>
        <v>TPPOS</v>
      </c>
      <c r="B56" t="s">
        <v>154</v>
      </c>
      <c r="D56" t="str">
        <f t="shared" si="1"/>
        <v>NUMEROLOTE</v>
      </c>
      <c r="E56" t="str">
        <f t="shared" si="2"/>
        <v>,NUMEROLOTE</v>
      </c>
      <c r="F56" t="s">
        <v>151</v>
      </c>
      <c r="G56" t="s">
        <v>155</v>
      </c>
      <c r="H56" t="s">
        <v>8</v>
      </c>
      <c r="I56" t="s">
        <v>155</v>
      </c>
    </row>
    <row r="57" spans="1:9">
      <c r="A57" t="str">
        <f t="shared" si="0"/>
        <v>DTINVESTIG</v>
      </c>
      <c r="B57" t="s">
        <v>156</v>
      </c>
      <c r="D57" t="str">
        <f t="shared" si="1"/>
        <v>DTINVESTIG</v>
      </c>
      <c r="E57" t="str">
        <f t="shared" si="2"/>
        <v>,DTINVESTIG</v>
      </c>
      <c r="F57" t="s">
        <v>156</v>
      </c>
      <c r="G57" t="s">
        <v>157</v>
      </c>
      <c r="H57" t="s">
        <v>8</v>
      </c>
      <c r="I57" t="s">
        <v>157</v>
      </c>
    </row>
    <row r="58" spans="1:9">
      <c r="A58" t="str">
        <f t="shared" si="0"/>
        <v>CAUSABAS_O</v>
      </c>
      <c r="B58" t="s">
        <v>152</v>
      </c>
      <c r="D58" t="str">
        <f t="shared" si="1"/>
        <v>DTCADASTRO</v>
      </c>
      <c r="E58" t="str">
        <f t="shared" si="2"/>
        <v>,DTCADASTRO</v>
      </c>
      <c r="F58" t="s">
        <v>158</v>
      </c>
      <c r="G58" t="s">
        <v>159</v>
      </c>
      <c r="H58" t="s">
        <v>8</v>
      </c>
      <c r="I58" t="s">
        <v>159</v>
      </c>
    </row>
    <row r="59" spans="1:9">
      <c r="A59" t="str">
        <f t="shared" si="0"/>
        <v>DTCADASTRO</v>
      </c>
      <c r="B59" t="s">
        <v>158</v>
      </c>
      <c r="D59" t="str">
        <f t="shared" si="1"/>
        <v>STCODIFICA</v>
      </c>
      <c r="E59" t="str">
        <f t="shared" si="2"/>
        <v>,STCODIFICA</v>
      </c>
      <c r="F59" t="s">
        <v>160</v>
      </c>
      <c r="G59" t="s">
        <v>161</v>
      </c>
      <c r="H59" t="s">
        <v>8</v>
      </c>
      <c r="I59" t="s">
        <v>161</v>
      </c>
    </row>
    <row r="60" spans="1:9">
      <c r="A60" t="str">
        <f t="shared" si="0"/>
        <v>ATESTANTE</v>
      </c>
      <c r="B60" t="s">
        <v>121</v>
      </c>
      <c r="D60" t="str">
        <f t="shared" si="1"/>
        <v>CODIFICADO</v>
      </c>
      <c r="E60" t="str">
        <f t="shared" si="2"/>
        <v>,CODIFICADO</v>
      </c>
      <c r="F60" t="s">
        <v>162</v>
      </c>
      <c r="G60" t="s">
        <v>163</v>
      </c>
      <c r="H60" t="s">
        <v>8</v>
      </c>
      <c r="I60" t="s">
        <v>163</v>
      </c>
    </row>
    <row r="61" spans="1:9">
      <c r="A61" t="str">
        <f t="shared" si="0"/>
        <v>STCODIFICA</v>
      </c>
      <c r="B61" t="s">
        <v>160</v>
      </c>
      <c r="D61" t="str">
        <f t="shared" si="1"/>
        <v>VERSAOSIST</v>
      </c>
      <c r="E61" t="str">
        <f t="shared" si="2"/>
        <v>,VERSAOSIST</v>
      </c>
      <c r="F61" t="s">
        <v>164</v>
      </c>
      <c r="G61" t="s">
        <v>165</v>
      </c>
      <c r="H61" t="s">
        <v>8</v>
      </c>
      <c r="I61" t="s">
        <v>165</v>
      </c>
    </row>
    <row r="62" spans="1:9">
      <c r="A62" t="str">
        <f t="shared" si="0"/>
        <v>CODIFICADO</v>
      </c>
      <c r="B62" t="s">
        <v>162</v>
      </c>
      <c r="D62" t="str">
        <f t="shared" si="1"/>
        <v>VERSAOSCB</v>
      </c>
      <c r="E62" t="str">
        <f t="shared" si="2"/>
        <v>,VERSAOSCB</v>
      </c>
      <c r="F62" t="s">
        <v>166</v>
      </c>
      <c r="G62" t="s">
        <v>167</v>
      </c>
      <c r="H62" t="s">
        <v>8</v>
      </c>
      <c r="I62" t="s">
        <v>167</v>
      </c>
    </row>
    <row r="63" spans="1:9">
      <c r="A63" t="str">
        <f t="shared" si="0"/>
        <v>VERSAOSIST</v>
      </c>
      <c r="B63" t="s">
        <v>164</v>
      </c>
      <c r="D63" t="str">
        <f t="shared" si="1"/>
        <v>FONTEINV</v>
      </c>
      <c r="E63" t="str">
        <f t="shared" si="2"/>
        <v>,FONTEINV</v>
      </c>
      <c r="F63" t="s">
        <v>168</v>
      </c>
      <c r="G63" t="s">
        <v>169</v>
      </c>
      <c r="H63" t="s">
        <v>8</v>
      </c>
      <c r="I63" t="s">
        <v>169</v>
      </c>
    </row>
    <row r="64" spans="1:9">
      <c r="A64" t="str">
        <f t="shared" si="0"/>
        <v>VERSAOSCB</v>
      </c>
      <c r="B64" t="s">
        <v>166</v>
      </c>
      <c r="D64" t="str">
        <f t="shared" si="1"/>
        <v>DTRECEBIM</v>
      </c>
      <c r="E64" t="str">
        <f t="shared" si="2"/>
        <v>,DTRECEBIM</v>
      </c>
      <c r="F64" t="s">
        <v>170</v>
      </c>
      <c r="G64" t="s">
        <v>171</v>
      </c>
      <c r="H64" t="s">
        <v>8</v>
      </c>
      <c r="I64" t="s">
        <v>171</v>
      </c>
    </row>
    <row r="65" spans="1:9">
      <c r="A65" t="str">
        <f t="shared" si="0"/>
        <v>FONTEINV</v>
      </c>
      <c r="B65" t="s">
        <v>168</v>
      </c>
      <c r="D65" t="str">
        <f t="shared" si="1"/>
        <v>ATESTADO</v>
      </c>
      <c r="E65" t="str">
        <f t="shared" si="2"/>
        <v>,ATESTADO</v>
      </c>
      <c r="F65" t="s">
        <v>172</v>
      </c>
      <c r="G65" t="s">
        <v>173</v>
      </c>
      <c r="H65" t="s">
        <v>8</v>
      </c>
      <c r="I65" t="s">
        <v>173</v>
      </c>
    </row>
    <row r="66" spans="1:9">
      <c r="A66" t="str">
        <f t="shared" si="0"/>
        <v>DTRECEBIM</v>
      </c>
      <c r="B66" t="s">
        <v>170</v>
      </c>
      <c r="D66" t="str">
        <f t="shared" si="1"/>
        <v>DTRECORIGA</v>
      </c>
      <c r="E66" t="str">
        <f t="shared" si="2"/>
        <v>,DTRECORIGA</v>
      </c>
      <c r="F66" t="s">
        <v>174</v>
      </c>
      <c r="G66" t="s">
        <v>175</v>
      </c>
      <c r="H66" t="s">
        <v>8</v>
      </c>
      <c r="I66" t="s">
        <v>175</v>
      </c>
    </row>
    <row r="67" spans="1:9">
      <c r="A67" t="str">
        <f t="shared" ref="A67:A97" si="3">VLOOKUP(B67,$F$4:$F$88,1,FALSE)</f>
        <v>ATESTADO</v>
      </c>
      <c r="B67" t="s">
        <v>172</v>
      </c>
      <c r="D67" t="str">
        <f t="shared" si="1"/>
        <v>OPOR_DO</v>
      </c>
      <c r="E67" t="str">
        <f t="shared" si="2"/>
        <v>,OPOR_DO</v>
      </c>
      <c r="F67" t="s">
        <v>176</v>
      </c>
      <c r="G67" t="s">
        <v>177</v>
      </c>
      <c r="H67" t="s">
        <v>8</v>
      </c>
      <c r="I67" t="s">
        <v>177</v>
      </c>
    </row>
    <row r="68" spans="1:9">
      <c r="A68" t="str">
        <f t="shared" si="3"/>
        <v>DTRECORIGA</v>
      </c>
      <c r="B68" t="s">
        <v>174</v>
      </c>
      <c r="D68" t="str">
        <f t="shared" si="1"/>
        <v>CAUSAMAT</v>
      </c>
      <c r="E68" t="str">
        <f t="shared" si="2"/>
        <v>,CAUSAMAT</v>
      </c>
      <c r="F68" t="s">
        <v>178</v>
      </c>
      <c r="G68" t="s">
        <v>179</v>
      </c>
      <c r="H68" t="s">
        <v>8</v>
      </c>
      <c r="I68" t="s">
        <v>179</v>
      </c>
    </row>
    <row r="69" spans="1:9">
      <c r="A69" t="str">
        <f t="shared" si="3"/>
        <v>CAUSAMAT</v>
      </c>
      <c r="B69" t="s">
        <v>178</v>
      </c>
      <c r="D69" t="str">
        <f>VLOOKUP(F69,$B$2:$B$97,1,FALSE)</f>
        <v>ESCMAEAGR1</v>
      </c>
      <c r="E69" t="str">
        <f t="shared" ref="E69:E115" si="4">_xlfn.CONCAT(",",F69)</f>
        <v>,ESCMAEAGR1</v>
      </c>
      <c r="F69" t="s">
        <v>180</v>
      </c>
      <c r="G69" t="s">
        <v>181</v>
      </c>
      <c r="H69" t="s">
        <v>8</v>
      </c>
      <c r="I69" t="s">
        <v>181</v>
      </c>
    </row>
    <row r="70" spans="1:9">
      <c r="A70" t="str">
        <f t="shared" si="3"/>
        <v>ESCMAEAGR1</v>
      </c>
      <c r="B70" t="s">
        <v>180</v>
      </c>
      <c r="D70" t="str">
        <f>VLOOKUP(F70,$B$2:$B$97,1,FALSE)</f>
        <v>ESCFALAGR1</v>
      </c>
      <c r="E70" t="str">
        <f t="shared" si="4"/>
        <v>,ESCFALAGR1</v>
      </c>
      <c r="F70" t="s">
        <v>182</v>
      </c>
      <c r="G70" t="s">
        <v>183</v>
      </c>
      <c r="H70" t="s">
        <v>8</v>
      </c>
      <c r="I70" t="s">
        <v>183</v>
      </c>
    </row>
    <row r="71" spans="1:9">
      <c r="A71" t="str">
        <f t="shared" si="3"/>
        <v>ESCFALAGR1</v>
      </c>
      <c r="B71" t="s">
        <v>182</v>
      </c>
      <c r="D71" t="str">
        <f>VLOOKUP(F71,$B$2:$B$97,1,FALSE)</f>
        <v>STDOEPIDEM</v>
      </c>
      <c r="E71" t="str">
        <f t="shared" si="4"/>
        <v>,STDOEPIDEM</v>
      </c>
      <c r="F71" t="s">
        <v>184</v>
      </c>
      <c r="G71" t="s">
        <v>185</v>
      </c>
      <c r="H71" t="s">
        <v>8</v>
      </c>
      <c r="I71" t="s">
        <v>185</v>
      </c>
    </row>
    <row r="72" spans="1:9">
      <c r="A72" t="str">
        <f t="shared" si="3"/>
        <v>STDOEPIDEM</v>
      </c>
      <c r="B72" t="s">
        <v>184</v>
      </c>
      <c r="D72" t="str">
        <f>VLOOKUP(F72,$B$2:$B$97,1,FALSE)</f>
        <v>STDONOVA</v>
      </c>
      <c r="E72" t="str">
        <f t="shared" si="4"/>
        <v>,STDONOVA</v>
      </c>
      <c r="F72" t="s">
        <v>186</v>
      </c>
      <c r="G72" t="s">
        <v>187</v>
      </c>
      <c r="H72" t="s">
        <v>8</v>
      </c>
      <c r="I72" t="s">
        <v>187</v>
      </c>
    </row>
    <row r="73" spans="1:9">
      <c r="A73" t="str">
        <f t="shared" si="3"/>
        <v>STDONOVA</v>
      </c>
      <c r="B73" t="s">
        <v>186</v>
      </c>
      <c r="D73" t="str">
        <f>VLOOKUP(F73,$B$2:$B$97,1,FALSE)</f>
        <v>DIFDATA</v>
      </c>
      <c r="E73" t="str">
        <f t="shared" si="4"/>
        <v>,DIFDATA</v>
      </c>
      <c r="F73" t="s">
        <v>188</v>
      </c>
      <c r="G73" t="s">
        <v>189</v>
      </c>
      <c r="H73" t="s">
        <v>8</v>
      </c>
      <c r="I73" t="s">
        <v>189</v>
      </c>
    </row>
    <row r="74" spans="1:9">
      <c r="A74" t="str">
        <f t="shared" si="3"/>
        <v>DIFDATA</v>
      </c>
      <c r="B74" t="s">
        <v>188</v>
      </c>
      <c r="D74" t="str">
        <f>VLOOKUP(F74,$B$2:$B$97,1,FALSE)</f>
        <v>NUDIASOBCO</v>
      </c>
      <c r="E74" t="str">
        <f t="shared" si="4"/>
        <v>,NUDIASOBCO</v>
      </c>
      <c r="F74" t="s">
        <v>190</v>
      </c>
      <c r="G74" t="s">
        <v>191</v>
      </c>
      <c r="H74" t="s">
        <v>8</v>
      </c>
      <c r="I74" t="s">
        <v>191</v>
      </c>
    </row>
    <row r="75" spans="1:9">
      <c r="A75" t="str">
        <f t="shared" si="3"/>
        <v>NUDIASOBCO</v>
      </c>
      <c r="B75" t="s">
        <v>190</v>
      </c>
      <c r="D75" t="str">
        <f>VLOOKUP(F75,$B$2:$B$97,1,FALSE)</f>
        <v>DTCADINV</v>
      </c>
      <c r="E75" t="str">
        <f t="shared" si="4"/>
        <v>,DTCADINV</v>
      </c>
      <c r="F75" t="s">
        <v>192</v>
      </c>
      <c r="G75" t="s">
        <v>193</v>
      </c>
      <c r="H75" t="s">
        <v>8</v>
      </c>
      <c r="I75" t="s">
        <v>193</v>
      </c>
    </row>
    <row r="76" spans="1:9">
      <c r="A76" t="e">
        <f t="shared" si="3"/>
        <v>#N/A</v>
      </c>
      <c r="B76" t="s">
        <v>194</v>
      </c>
      <c r="D76" t="str">
        <f>VLOOKUP(F76,$B$2:$B$97,1,FALSE)</f>
        <v>DTCONINV</v>
      </c>
      <c r="E76" t="str">
        <f t="shared" si="4"/>
        <v>,DTCONINV</v>
      </c>
      <c r="F76" t="s">
        <v>195</v>
      </c>
      <c r="G76" t="s">
        <v>196</v>
      </c>
      <c r="H76" t="s">
        <v>8</v>
      </c>
      <c r="I76" t="s">
        <v>196</v>
      </c>
    </row>
    <row r="77" spans="1:9">
      <c r="A77" t="str">
        <f t="shared" si="3"/>
        <v>DTCADINV</v>
      </c>
      <c r="B77" t="s">
        <v>192</v>
      </c>
      <c r="D77" t="str">
        <f>VLOOKUP(F77,$B$2:$B$97,1,FALSE)</f>
        <v>FONTES</v>
      </c>
      <c r="E77" t="str">
        <f t="shared" si="4"/>
        <v>,FONTES</v>
      </c>
      <c r="F77" t="s">
        <v>197</v>
      </c>
      <c r="G77" t="s">
        <v>198</v>
      </c>
      <c r="H77" t="s">
        <v>8</v>
      </c>
      <c r="I77" t="s">
        <v>198</v>
      </c>
    </row>
    <row r="78" spans="1:9">
      <c r="A78" t="str">
        <f t="shared" si="3"/>
        <v>TPOBITOCOR</v>
      </c>
      <c r="B78" t="s">
        <v>139</v>
      </c>
      <c r="D78" t="str">
        <f>VLOOKUP(F78,$B$2:$B$97,1,FALSE)</f>
        <v>TPRESGINFO</v>
      </c>
      <c r="E78" t="str">
        <f t="shared" si="4"/>
        <v>,TPRESGINFO</v>
      </c>
      <c r="F78" t="s">
        <v>199</v>
      </c>
      <c r="G78" t="s">
        <v>200</v>
      </c>
      <c r="H78" t="s">
        <v>8</v>
      </c>
      <c r="I78" t="s">
        <v>200</v>
      </c>
    </row>
    <row r="79" spans="1:9">
      <c r="A79" t="str">
        <f t="shared" si="3"/>
        <v>DTCONINV</v>
      </c>
      <c r="B79" t="s">
        <v>195</v>
      </c>
      <c r="D79" t="str">
        <f>VLOOKUP(F79,$B$2:$B$97,1,FALSE)</f>
        <v>TPNIVELINV</v>
      </c>
      <c r="E79" t="str">
        <f t="shared" si="4"/>
        <v>,TPNIVELINV</v>
      </c>
      <c r="F79" t="s">
        <v>201</v>
      </c>
      <c r="G79" t="s">
        <v>202</v>
      </c>
      <c r="H79" t="s">
        <v>8</v>
      </c>
      <c r="I79" t="s">
        <v>202</v>
      </c>
    </row>
    <row r="80" spans="1:9">
      <c r="A80" t="str">
        <f t="shared" si="3"/>
        <v>FONTES</v>
      </c>
      <c r="B80" t="s">
        <v>197</v>
      </c>
      <c r="D80" t="str">
        <f>VLOOKUP(F80,$B$2:$B$97,1,FALSE)</f>
        <v>DTCADINF</v>
      </c>
      <c r="E80" t="str">
        <f t="shared" si="4"/>
        <v>,DTCADINF</v>
      </c>
      <c r="F80" t="s">
        <v>203</v>
      </c>
      <c r="G80" t="s">
        <v>204</v>
      </c>
      <c r="H80" t="s">
        <v>8</v>
      </c>
      <c r="I80" t="s">
        <v>204</v>
      </c>
    </row>
    <row r="81" spans="1:9">
      <c r="A81" t="str">
        <f t="shared" si="3"/>
        <v>TPRESGINFO</v>
      </c>
      <c r="B81" t="s">
        <v>199</v>
      </c>
      <c r="D81" t="str">
        <f>VLOOKUP(F81,$B$2:$B$97,1,FALSE)</f>
        <v>MORTEPARTO</v>
      </c>
      <c r="E81" t="str">
        <f t="shared" si="4"/>
        <v>,MORTEPARTO</v>
      </c>
      <c r="F81" t="s">
        <v>205</v>
      </c>
      <c r="G81" t="s">
        <v>206</v>
      </c>
      <c r="H81" t="s">
        <v>8</v>
      </c>
      <c r="I81" t="s">
        <v>206</v>
      </c>
    </row>
    <row r="82" spans="1:9">
      <c r="A82" t="str">
        <f t="shared" si="3"/>
        <v>TPNIVELINV</v>
      </c>
      <c r="B82" t="s">
        <v>201</v>
      </c>
      <c r="D82" t="str">
        <f>VLOOKUP(F82,$B$2:$B$97,1,FALSE)</f>
        <v>DTCONCASO</v>
      </c>
      <c r="E82" t="str">
        <f t="shared" si="4"/>
        <v>,DTCONCASO</v>
      </c>
      <c r="F82" t="s">
        <v>207</v>
      </c>
      <c r="G82" t="s">
        <v>208</v>
      </c>
      <c r="H82" t="s">
        <v>8</v>
      </c>
      <c r="I82" t="s">
        <v>208</v>
      </c>
    </row>
    <row r="83" spans="1:9">
      <c r="A83" t="e">
        <f t="shared" si="3"/>
        <v>#N/A</v>
      </c>
      <c r="B83" t="s">
        <v>209</v>
      </c>
      <c r="D83" t="str">
        <f>VLOOKUP(F83,$B$2:$B$97,1,FALSE)</f>
        <v>ALTCAUSA</v>
      </c>
      <c r="E83" t="str">
        <f t="shared" si="4"/>
        <v>,ALTCAUSA</v>
      </c>
      <c r="F83" t="s">
        <v>210</v>
      </c>
      <c r="G83" t="s">
        <v>211</v>
      </c>
      <c r="H83" t="s">
        <v>8</v>
      </c>
      <c r="I83" t="s">
        <v>211</v>
      </c>
    </row>
    <row r="84" spans="1:9">
      <c r="A84" t="str">
        <f t="shared" si="3"/>
        <v>DTCADINF</v>
      </c>
      <c r="B84" t="s">
        <v>203</v>
      </c>
      <c r="D84" t="str">
        <f>VLOOKUP(F84,$B$2:$B$97,1,FALSE)</f>
        <v>CAUSABAS_O</v>
      </c>
      <c r="E84" t="str">
        <f t="shared" si="4"/>
        <v>,CAUSABAS_O</v>
      </c>
      <c r="F84" s="3" t="s">
        <v>152</v>
      </c>
      <c r="G84" t="s">
        <v>212</v>
      </c>
      <c r="H84" t="s">
        <v>8</v>
      </c>
      <c r="I84" t="s">
        <v>212</v>
      </c>
    </row>
    <row r="85" spans="1:9">
      <c r="A85" t="str">
        <f t="shared" si="3"/>
        <v>MORTEPARTO</v>
      </c>
      <c r="B85" t="s">
        <v>205</v>
      </c>
      <c r="D85" t="str">
        <f>VLOOKUP(F85,$B$2:$B$97,1,FALSE)</f>
        <v>TPPOS</v>
      </c>
      <c r="E85" t="str">
        <f t="shared" si="4"/>
        <v>,TPPOS</v>
      </c>
      <c r="F85" t="s">
        <v>154</v>
      </c>
      <c r="G85" t="s">
        <v>213</v>
      </c>
      <c r="H85" t="s">
        <v>8</v>
      </c>
      <c r="I85" t="s">
        <v>213</v>
      </c>
    </row>
    <row r="86" spans="1:9">
      <c r="A86" t="str">
        <f t="shared" si="3"/>
        <v>DTCONCASO</v>
      </c>
      <c r="B86" t="s">
        <v>207</v>
      </c>
      <c r="D86" t="str">
        <f>VLOOKUP(F86,$B$2:$B$97,1,FALSE)</f>
        <v>TP_ALTERA</v>
      </c>
      <c r="E86" t="str">
        <f t="shared" si="4"/>
        <v>,TP_ALTERA</v>
      </c>
      <c r="F86" t="s">
        <v>214</v>
      </c>
      <c r="G86" t="s">
        <v>215</v>
      </c>
      <c r="H86" t="s">
        <v>8</v>
      </c>
      <c r="I86" t="s">
        <v>216</v>
      </c>
    </row>
    <row r="87" spans="1:9">
      <c r="A87" t="e">
        <f t="shared" si="3"/>
        <v>#N/A</v>
      </c>
      <c r="B87" t="s">
        <v>217</v>
      </c>
      <c r="D87" t="str">
        <f>VLOOKUP(F87,$B$2:$B$97,1,FALSE)</f>
        <v>GESTACAO</v>
      </c>
      <c r="E87" t="str">
        <f t="shared" si="4"/>
        <v>,GESTACAO</v>
      </c>
      <c r="F87" t="s">
        <v>92</v>
      </c>
      <c r="G87" t="s">
        <v>218</v>
      </c>
      <c r="H87" t="s">
        <v>8</v>
      </c>
      <c r="I87" t="s">
        <v>219</v>
      </c>
    </row>
    <row r="88" spans="1:9">
      <c r="A88" t="str">
        <f t="shared" si="3"/>
        <v>ALTCAUSA</v>
      </c>
      <c r="B88" t="s">
        <v>210</v>
      </c>
      <c r="D88" t="str">
        <f>VLOOKUP(F88,$B$2:$B$97,1,FALSE)</f>
        <v>CB_ALT</v>
      </c>
      <c r="E88" t="str">
        <f t="shared" si="4"/>
        <v>,CB_ALT</v>
      </c>
      <c r="F88" t="s">
        <v>220</v>
      </c>
      <c r="G88" t="s">
        <v>221</v>
      </c>
      <c r="H88" t="s">
        <v>8</v>
      </c>
      <c r="I88" t="s">
        <v>222</v>
      </c>
    </row>
    <row r="89" spans="1:9">
      <c r="A89" t="e">
        <f t="shared" si="3"/>
        <v>#N/A</v>
      </c>
      <c r="B89" s="2" t="s">
        <v>194</v>
      </c>
      <c r="E89" t="str">
        <f t="shared" si="4"/>
        <v>,</v>
      </c>
    </row>
    <row r="90" spans="1:9">
      <c r="A90" t="e">
        <f t="shared" si="3"/>
        <v>#N/A</v>
      </c>
      <c r="B90" s="2" t="s">
        <v>209</v>
      </c>
      <c r="E90" t="str">
        <f t="shared" si="4"/>
        <v>,</v>
      </c>
    </row>
    <row r="91" spans="1:9">
      <c r="A91" t="e">
        <f t="shared" si="3"/>
        <v>#N/A</v>
      </c>
      <c r="B91" s="2" t="s">
        <v>217</v>
      </c>
      <c r="E91" t="str">
        <f t="shared" si="4"/>
        <v>,</v>
      </c>
    </row>
    <row r="92" spans="1:9">
      <c r="A92" t="e">
        <f t="shared" si="3"/>
        <v>#N/A</v>
      </c>
      <c r="B92" s="2" t="s">
        <v>59</v>
      </c>
      <c r="E92" t="str">
        <f t="shared" si="4"/>
        <v>,</v>
      </c>
    </row>
    <row r="93" spans="1:9">
      <c r="A93" t="str">
        <f t="shared" si="3"/>
        <v>OPOR_DO</v>
      </c>
      <c r="B93" s="2" t="s">
        <v>176</v>
      </c>
      <c r="E93" t="str">
        <f t="shared" si="4"/>
        <v>,</v>
      </c>
    </row>
    <row r="94" spans="1:9">
      <c r="A94" t="str">
        <f t="shared" si="3"/>
        <v>TP_ALTERA</v>
      </c>
      <c r="B94" s="2" t="s">
        <v>214</v>
      </c>
      <c r="E94" t="str">
        <f t="shared" si="4"/>
        <v>,</v>
      </c>
    </row>
    <row r="95" spans="1:9">
      <c r="A95" t="str">
        <f t="shared" si="3"/>
        <v>CB_ALT</v>
      </c>
      <c r="B95" s="2" t="s">
        <v>220</v>
      </c>
      <c r="E95" t="str">
        <f t="shared" si="4"/>
        <v>,</v>
      </c>
    </row>
    <row r="96" spans="1:9">
      <c r="A96" t="e">
        <f t="shared" si="3"/>
        <v>#N/A</v>
      </c>
      <c r="B96" s="2" t="s">
        <v>223</v>
      </c>
      <c r="E96" t="str">
        <f t="shared" si="4"/>
        <v>,</v>
      </c>
    </row>
    <row r="97" spans="1:5">
      <c r="A97" t="e">
        <f t="shared" si="3"/>
        <v>#N/A</v>
      </c>
      <c r="B97" s="2" t="s">
        <v>224</v>
      </c>
      <c r="E97" t="str">
        <f t="shared" si="4"/>
        <v>,</v>
      </c>
    </row>
    <row r="98" spans="1:5">
      <c r="E98" t="str">
        <f t="shared" si="4"/>
        <v>,</v>
      </c>
    </row>
    <row r="99" spans="1:5">
      <c r="E99" t="str">
        <f t="shared" si="4"/>
        <v>,</v>
      </c>
    </row>
    <row r="100" spans="1:5">
      <c r="E100" t="str">
        <f t="shared" si="4"/>
        <v>,</v>
      </c>
    </row>
    <row r="101" spans="1:5">
      <c r="E101" t="str">
        <f t="shared" si="4"/>
        <v>,</v>
      </c>
    </row>
    <row r="102" spans="1:5">
      <c r="E102" t="str">
        <f t="shared" si="4"/>
        <v>,</v>
      </c>
    </row>
    <row r="103" spans="1:5">
      <c r="E103" t="str">
        <f t="shared" si="4"/>
        <v>,</v>
      </c>
    </row>
    <row r="104" spans="1:5">
      <c r="E104" t="str">
        <f t="shared" si="4"/>
        <v>,</v>
      </c>
    </row>
    <row r="105" spans="1:5">
      <c r="E105" t="str">
        <f t="shared" si="4"/>
        <v>,</v>
      </c>
    </row>
    <row r="106" spans="1:5">
      <c r="E106" t="str">
        <f t="shared" si="4"/>
        <v>,</v>
      </c>
    </row>
    <row r="107" spans="1:5">
      <c r="E107" t="str">
        <f t="shared" si="4"/>
        <v>,</v>
      </c>
    </row>
    <row r="108" spans="1:5">
      <c r="E108" t="str">
        <f t="shared" si="4"/>
        <v>,</v>
      </c>
    </row>
    <row r="109" spans="1:5">
      <c r="E109" t="str">
        <f t="shared" si="4"/>
        <v>,</v>
      </c>
    </row>
    <row r="110" spans="1:5">
      <c r="E110" t="str">
        <f t="shared" si="4"/>
        <v>,</v>
      </c>
    </row>
    <row r="111" spans="1:5">
      <c r="E111" t="str">
        <f t="shared" si="4"/>
        <v>,</v>
      </c>
    </row>
    <row r="112" spans="1:5">
      <c r="E112" t="str">
        <f t="shared" si="4"/>
        <v>,</v>
      </c>
    </row>
    <row r="113" spans="5:5">
      <c r="E113" t="str">
        <f t="shared" si="4"/>
        <v>,</v>
      </c>
    </row>
    <row r="114" spans="5:5">
      <c r="E114" t="str">
        <f t="shared" si="4"/>
        <v>,</v>
      </c>
    </row>
    <row r="115" spans="5:5">
      <c r="E115" t="str">
        <f t="shared" si="4"/>
        <v>,</v>
      </c>
    </row>
  </sheetData>
  <autoFilter ref="F1:F115" xr:uid="{00000000-0001-0000-0000-000000000000}">
    <sortState xmlns:xlrd2="http://schemas.microsoft.com/office/spreadsheetml/2017/richdata2" ref="F2:F115">
      <sortCondition ref="F1:F11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2026-08-04T18:10:39Z</dcterms:created>
  <dcterms:modified xsi:type="dcterms:W3CDTF">2026-08-05T19:07:03Z</dcterms:modified>
  <cp:category/>
  <cp:contentStatus/>
</cp:coreProperties>
</file>